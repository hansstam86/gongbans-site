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11" i="1"/>
  <c r="B15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6"/>
  <c r="B7" s="1"/>
  <c r="B8" s="1"/>
  <c r="B9" s="1"/>
  <c r="B10" s="1"/>
  <c r="B12" s="1"/>
  <c r="B13" s="1"/>
  <c r="B14" s="1"/>
  <c r="B5"/>
</calcChain>
</file>

<file path=xl/sharedStrings.xml><?xml version="1.0" encoding="utf-8"?>
<sst xmlns="http://schemas.openxmlformats.org/spreadsheetml/2006/main" count="434" uniqueCount="169">
  <si>
    <t>1. 序號</t>
    <phoneticPr fontId="3" type="noConversion"/>
  </si>
  <si>
    <t>2. 用量</t>
    <phoneticPr fontId="3" type="noConversion"/>
  </si>
  <si>
    <t>3. 元件位置編號</t>
    <phoneticPr fontId="3" type="noConversion"/>
  </si>
  <si>
    <t>4. 料號</t>
    <phoneticPr fontId="3" type="noConversion"/>
  </si>
  <si>
    <r>
      <t>5. 物料型</t>
    </r>
    <r>
      <rPr>
        <b/>
        <sz val="12"/>
        <rFont val="宋体"/>
        <family val="3"/>
        <charset val="134"/>
      </rPr>
      <t>态</t>
    </r>
    <r>
      <rPr>
        <b/>
        <sz val="12"/>
        <rFont val="新細明體"/>
        <family val="1"/>
        <charset val="136"/>
      </rPr>
      <t xml:space="preserve"> </t>
    </r>
    <phoneticPr fontId="3" type="noConversion"/>
  </si>
  <si>
    <t>6. 特徵-1 ( 封裝 )</t>
    <phoneticPr fontId="3" type="noConversion"/>
  </si>
  <si>
    <t>7. 特徵-2</t>
    <phoneticPr fontId="3" type="noConversion"/>
  </si>
  <si>
    <t>8. 特徵-3</t>
    <phoneticPr fontId="3" type="noConversion"/>
  </si>
  <si>
    <t>9. 特徵-4</t>
    <phoneticPr fontId="3" type="noConversion"/>
  </si>
  <si>
    <t>10. 特徵-5</t>
    <phoneticPr fontId="3" type="noConversion"/>
  </si>
  <si>
    <t>11. 廠牌</t>
    <phoneticPr fontId="3" type="noConversion"/>
  </si>
  <si>
    <t>12. 供應商</t>
    <phoneticPr fontId="3" type="noConversion"/>
  </si>
  <si>
    <t>13. 數據手冊檔案名稱(規格書)</t>
    <phoneticPr fontId="3" type="noConversion"/>
  </si>
  <si>
    <t>2. Quantity</t>
    <phoneticPr fontId="3" type="noConversion"/>
  </si>
  <si>
    <t>3. Reference</t>
    <phoneticPr fontId="3" type="noConversion"/>
  </si>
  <si>
    <t xml:space="preserve">4. Part Number </t>
    <phoneticPr fontId="3" type="noConversion"/>
  </si>
  <si>
    <t>8. Feature-3</t>
    <phoneticPr fontId="3" type="noConversion"/>
  </si>
  <si>
    <t>9. Feature-4</t>
    <phoneticPr fontId="3" type="noConversion"/>
  </si>
  <si>
    <t>10. Feature-5</t>
    <phoneticPr fontId="3" type="noConversion"/>
  </si>
  <si>
    <t>11. Brand</t>
    <phoneticPr fontId="3" type="noConversion"/>
  </si>
  <si>
    <t>12. Supplier</t>
    <phoneticPr fontId="3" type="noConversion"/>
  </si>
  <si>
    <t>13. Datasheet File Name</t>
    <phoneticPr fontId="3" type="noConversion"/>
  </si>
  <si>
    <t>1. Item</t>
    <phoneticPr fontId="3" type="noConversion"/>
  </si>
  <si>
    <t>0.1uF</t>
    <phoneticPr fontId="2" type="noConversion"/>
  </si>
  <si>
    <t>Capacitor</t>
  </si>
  <si>
    <t>IC</t>
    <phoneticPr fontId="2" type="noConversion"/>
  </si>
  <si>
    <t>Key</t>
    <phoneticPr fontId="9" type="noConversion"/>
  </si>
  <si>
    <t>Switch</t>
    <phoneticPr fontId="9" type="noConversion"/>
  </si>
  <si>
    <t>NULL</t>
    <phoneticPr fontId="9" type="noConversion"/>
  </si>
  <si>
    <t>TBD</t>
    <phoneticPr fontId="9" type="noConversion"/>
  </si>
  <si>
    <t>NULL</t>
    <phoneticPr fontId="10" type="noConversion"/>
  </si>
  <si>
    <t>Unknow</t>
    <phoneticPr fontId="9" type="noConversion"/>
  </si>
  <si>
    <t>TBD</t>
    <phoneticPr fontId="3" type="noConversion"/>
  </si>
  <si>
    <t>Resistor</t>
  </si>
  <si>
    <t>6. Feature-1 (Package)</t>
    <phoneticPr fontId="3" type="noConversion"/>
  </si>
  <si>
    <t>0603</t>
    <phoneticPr fontId="2" type="noConversion"/>
  </si>
  <si>
    <t>±5%</t>
    <phoneticPr fontId="9" type="noConversion"/>
  </si>
  <si>
    <t>NULL</t>
    <phoneticPr fontId="10" type="noConversion"/>
  </si>
  <si>
    <t>Royalohm</t>
    <phoneticPr fontId="9" type="noConversion"/>
  </si>
  <si>
    <t>Unknow</t>
    <phoneticPr fontId="9" type="noConversion"/>
  </si>
  <si>
    <t>TBD</t>
    <phoneticPr fontId="3" type="noConversion"/>
  </si>
  <si>
    <t>7. Feature-2</t>
    <phoneticPr fontId="3" type="noConversion"/>
  </si>
  <si>
    <t>25V</t>
    <phoneticPr fontId="9" type="noConversion"/>
  </si>
  <si>
    <t>X5R</t>
    <phoneticPr fontId="9" type="noConversion"/>
  </si>
  <si>
    <t>±10%</t>
    <phoneticPr fontId="10" type="noConversion"/>
  </si>
  <si>
    <t>Samsung</t>
    <phoneticPr fontId="9" type="noConversion"/>
  </si>
  <si>
    <t>5. Device Type</t>
    <phoneticPr fontId="3" type="noConversion"/>
  </si>
  <si>
    <t>接插件</t>
    <phoneticPr fontId="2" type="noConversion"/>
  </si>
  <si>
    <t>Jumper</t>
    <phoneticPr fontId="2" type="noConversion"/>
  </si>
  <si>
    <t>Connector</t>
  </si>
  <si>
    <t>2-Pin (2.54)</t>
    <phoneticPr fontId="2" type="noConversion"/>
  </si>
  <si>
    <t>TBD</t>
    <phoneticPr fontId="9" type="noConversion"/>
  </si>
  <si>
    <t>NULL</t>
    <phoneticPr fontId="9" type="noConversion"/>
  </si>
  <si>
    <t>Connector</t>
    <phoneticPr fontId="9" type="noConversion"/>
  </si>
  <si>
    <t>10uF</t>
    <phoneticPr fontId="2" type="noConversion"/>
  </si>
  <si>
    <t>0805</t>
    <phoneticPr fontId="2" type="noConversion"/>
  </si>
  <si>
    <t>Connector</t>
    <phoneticPr fontId="2" type="noConversion"/>
  </si>
  <si>
    <t>Connector</t>
    <phoneticPr fontId="2" type="noConversion"/>
  </si>
  <si>
    <t>LED</t>
    <phoneticPr fontId="9" type="noConversion"/>
  </si>
  <si>
    <t>0R</t>
    <phoneticPr fontId="2" type="noConversion"/>
  </si>
  <si>
    <t>0603</t>
    <phoneticPr fontId="2" type="noConversion"/>
  </si>
  <si>
    <t>±5%</t>
    <phoneticPr fontId="9" type="noConversion"/>
  </si>
  <si>
    <t>0.1W</t>
    <phoneticPr fontId="9" type="noConversion"/>
  </si>
  <si>
    <t>0603</t>
    <phoneticPr fontId="2" type="noConversion"/>
  </si>
  <si>
    <t>0.01uF</t>
    <phoneticPr fontId="2" type="noConversion"/>
  </si>
  <si>
    <t>2.2uF</t>
    <phoneticPr fontId="2" type="noConversion"/>
  </si>
  <si>
    <t>单排 1x8 (2.54)</t>
    <phoneticPr fontId="2" type="noConversion"/>
  </si>
  <si>
    <t>U4</t>
    <phoneticPr fontId="2" type="noConversion"/>
  </si>
  <si>
    <t xml:space="preserve">5-Pin </t>
    <phoneticPr fontId="2" type="noConversion"/>
  </si>
  <si>
    <t>2pin 0603</t>
    <phoneticPr fontId="9" type="noConversion"/>
  </si>
  <si>
    <t>CN1</t>
    <phoneticPr fontId="2" type="noConversion"/>
  </si>
  <si>
    <t>U2</t>
    <phoneticPr fontId="2" type="noConversion"/>
  </si>
  <si>
    <t>Q1</t>
    <phoneticPr fontId="2" type="noConversion"/>
  </si>
  <si>
    <t>100K</t>
    <phoneticPr fontId="2" type="noConversion"/>
  </si>
  <si>
    <t>10K</t>
    <phoneticPr fontId="2" type="noConversion"/>
  </si>
  <si>
    <t>1K</t>
    <phoneticPr fontId="2" type="noConversion"/>
  </si>
  <si>
    <t>470R</t>
    <phoneticPr fontId="2" type="noConversion"/>
  </si>
  <si>
    <t>SOT23</t>
    <phoneticPr fontId="2" type="noConversion"/>
  </si>
  <si>
    <t>Transistor</t>
    <phoneticPr fontId="2" type="noConversion"/>
  </si>
  <si>
    <t>NPN</t>
    <phoneticPr fontId="2" type="noConversion"/>
  </si>
  <si>
    <t>LDO</t>
    <phoneticPr fontId="2" type="noConversion"/>
  </si>
  <si>
    <t>5V DC to 3.3V DC</t>
    <phoneticPr fontId="2" type="noConversion"/>
  </si>
  <si>
    <t>P15-096_Man-Speed(LPC824+UV Sensor Demo Board)_V1_Claire.Chen_2015.12.01</t>
    <phoneticPr fontId="2" type="noConversion"/>
  </si>
  <si>
    <t>C2，C3，C16</t>
    <phoneticPr fontId="2" type="noConversion"/>
  </si>
  <si>
    <t>C1，C4，C5 C9，C10，C15， C17，C20，C26</t>
    <phoneticPr fontId="2" type="noConversion"/>
  </si>
  <si>
    <t>1uF</t>
    <phoneticPr fontId="2" type="noConversion"/>
  </si>
  <si>
    <t>C21，C22，C23，C24，C25</t>
    <phoneticPr fontId="2" type="noConversion"/>
  </si>
  <si>
    <t>C8，C12</t>
    <phoneticPr fontId="2" type="noConversion"/>
  </si>
  <si>
    <t>C11</t>
    <phoneticPr fontId="2" type="noConversion"/>
  </si>
  <si>
    <t>C13，C14</t>
    <phoneticPr fontId="2" type="noConversion"/>
  </si>
  <si>
    <t>22pF</t>
    <phoneticPr fontId="2" type="noConversion"/>
  </si>
  <si>
    <t>27pF</t>
    <phoneticPr fontId="2" type="noConversion"/>
  </si>
  <si>
    <t>C6，C7，C18，C19</t>
    <phoneticPr fontId="2" type="noConversion"/>
  </si>
  <si>
    <t>J6</t>
    <phoneticPr fontId="2" type="noConversion"/>
  </si>
  <si>
    <t>双排 2x5 (1.27)贴件</t>
    <phoneticPr fontId="2" type="noConversion"/>
  </si>
  <si>
    <t>单排 1x6 (2.54)</t>
    <phoneticPr fontId="2" type="noConversion"/>
  </si>
  <si>
    <t>J4，J7</t>
    <phoneticPr fontId="2" type="noConversion"/>
  </si>
  <si>
    <t>J5</t>
    <phoneticPr fontId="2" type="noConversion"/>
  </si>
  <si>
    <t>单排 1x10 (2.54)</t>
    <phoneticPr fontId="2" type="noConversion"/>
  </si>
  <si>
    <t>J2，J3</t>
    <phoneticPr fontId="2" type="noConversion"/>
  </si>
  <si>
    <t>跳线帽</t>
    <phoneticPr fontId="2" type="noConversion"/>
  </si>
  <si>
    <t>Micro USB</t>
    <phoneticPr fontId="2" type="noConversion"/>
  </si>
  <si>
    <t>J1</t>
    <phoneticPr fontId="2" type="noConversion"/>
  </si>
  <si>
    <t>S1，S2，S6</t>
    <phoneticPr fontId="2" type="noConversion"/>
  </si>
  <si>
    <t>S3，S4，S5</t>
    <phoneticPr fontId="9" type="noConversion"/>
  </si>
  <si>
    <t>接插件（JTAG）</t>
    <phoneticPr fontId="2" type="noConversion"/>
  </si>
  <si>
    <t>0R 电阻连接选择</t>
    <phoneticPr fontId="2" type="noConversion"/>
  </si>
  <si>
    <t>0R 电阻连接选择</t>
    <phoneticPr fontId="9" type="noConversion"/>
  </si>
  <si>
    <t>D1，D2，D3，D4，D5，D6，D7</t>
    <phoneticPr fontId="9" type="noConversion"/>
  </si>
  <si>
    <t>LCD1</t>
    <phoneticPr fontId="9" type="noConversion"/>
  </si>
  <si>
    <t>128X64显示屏</t>
    <phoneticPr fontId="2" type="noConversion"/>
  </si>
  <si>
    <t>Display</t>
    <phoneticPr fontId="9" type="noConversion"/>
  </si>
  <si>
    <t>LED Light</t>
    <phoneticPr fontId="9" type="noConversion"/>
  </si>
  <si>
    <t>12Pins</t>
    <phoneticPr fontId="9" type="noConversion"/>
  </si>
  <si>
    <t>R1，R29，R32</t>
    <phoneticPr fontId="2" type="noConversion"/>
  </si>
  <si>
    <t>R5 R11</t>
    <phoneticPr fontId="2" type="noConversion"/>
  </si>
  <si>
    <t>R17，R18，R19，R24，R25，R26</t>
    <phoneticPr fontId="2" type="noConversion"/>
  </si>
  <si>
    <t>1.5K</t>
    <phoneticPr fontId="2" type="noConversion"/>
  </si>
  <si>
    <t>R10，R12</t>
    <phoneticPr fontId="2" type="noConversion"/>
  </si>
  <si>
    <t>100R</t>
    <phoneticPr fontId="2" type="noConversion"/>
  </si>
  <si>
    <t>R27，R28</t>
    <phoneticPr fontId="2" type="noConversion"/>
  </si>
  <si>
    <t>22R</t>
    <phoneticPr fontId="2" type="noConversion"/>
  </si>
  <si>
    <t>R36，R37，R38，R39，R40</t>
    <phoneticPr fontId="2" type="noConversion"/>
  </si>
  <si>
    <t>33R</t>
    <phoneticPr fontId="2" type="noConversion"/>
  </si>
  <si>
    <t>R7，R8</t>
    <phoneticPr fontId="2" type="noConversion"/>
  </si>
  <si>
    <t>270R</t>
    <phoneticPr fontId="2" type="noConversion"/>
  </si>
  <si>
    <t>750R</t>
    <phoneticPr fontId="2" type="noConversion"/>
  </si>
  <si>
    <t>R2，R3，R4，R9，R14，R21， R31， R33，R34</t>
    <phoneticPr fontId="2" type="noConversion"/>
  </si>
  <si>
    <t>2.2K</t>
    <phoneticPr fontId="2" type="noConversion"/>
  </si>
  <si>
    <t>R41</t>
    <phoneticPr fontId="2" type="noConversion"/>
  </si>
  <si>
    <t>R16</t>
    <phoneticPr fontId="2" type="noConversion"/>
  </si>
  <si>
    <t>R22，R23</t>
    <phoneticPr fontId="2" type="noConversion"/>
  </si>
  <si>
    <t>MMBT3906</t>
    <phoneticPr fontId="2" type="noConversion"/>
  </si>
  <si>
    <t>K1，K2，K3</t>
    <phoneticPr fontId="2" type="noConversion"/>
  </si>
  <si>
    <t>Y1，Y2</t>
    <phoneticPr fontId="2" type="noConversion"/>
  </si>
  <si>
    <t>12M 贴片</t>
    <phoneticPr fontId="2" type="noConversion"/>
  </si>
  <si>
    <t>Crystal</t>
    <phoneticPr fontId="2" type="noConversion"/>
  </si>
  <si>
    <t>12M 晶振</t>
    <phoneticPr fontId="2" type="noConversion"/>
  </si>
  <si>
    <t>U5</t>
    <phoneticPr fontId="2" type="noConversion"/>
  </si>
  <si>
    <t>U3</t>
    <phoneticPr fontId="2" type="noConversion"/>
  </si>
  <si>
    <t>TCR2EF33</t>
    <phoneticPr fontId="2" type="noConversion"/>
  </si>
  <si>
    <t>SOT-25</t>
    <phoneticPr fontId="2" type="noConversion"/>
  </si>
  <si>
    <t>U1</t>
    <phoneticPr fontId="2" type="noConversion"/>
  </si>
  <si>
    <t>LPC11U35FHI33</t>
    <phoneticPr fontId="2" type="noConversion"/>
  </si>
  <si>
    <t>LPC824JHI33</t>
    <phoneticPr fontId="2" type="noConversion"/>
  </si>
  <si>
    <t>Microcontroller</t>
    <phoneticPr fontId="2" type="noConversion"/>
  </si>
  <si>
    <t>VEML6075</t>
    <phoneticPr fontId="2" type="noConversion"/>
  </si>
  <si>
    <t>PRTR5V0U2X</t>
    <phoneticPr fontId="2" type="noConversion"/>
  </si>
  <si>
    <t>TBD</t>
    <phoneticPr fontId="2" type="noConversion"/>
  </si>
  <si>
    <t>LPC11U3X.pdf</t>
    <phoneticPr fontId="2" type="noConversion"/>
  </si>
  <si>
    <t>LPC82X.pdf</t>
    <phoneticPr fontId="2" type="noConversion"/>
  </si>
  <si>
    <t>HVQFN33</t>
    <phoneticPr fontId="2" type="noConversion"/>
  </si>
  <si>
    <t>HVQFN33</t>
    <phoneticPr fontId="2" type="noConversion"/>
  </si>
  <si>
    <t>TCR2EF33_datasheet_en_20140301.pdf</t>
    <phoneticPr fontId="2" type="noConversion"/>
  </si>
  <si>
    <t>PRTR5V0U2X.pdf</t>
    <phoneticPr fontId="2" type="noConversion"/>
  </si>
  <si>
    <t>ESD protection diode</t>
    <phoneticPr fontId="2" type="noConversion"/>
  </si>
  <si>
    <t>IC</t>
    <phoneticPr fontId="2" type="noConversion"/>
  </si>
  <si>
    <t>ESD</t>
    <phoneticPr fontId="2" type="noConversion"/>
  </si>
  <si>
    <t>SOT143B</t>
    <phoneticPr fontId="2" type="noConversion"/>
  </si>
  <si>
    <t>VEML6075_84304_20150519_Preliminary.pdf</t>
    <phoneticPr fontId="2" type="noConversion"/>
  </si>
  <si>
    <t>UVA and UVB Light Sensor</t>
    <phoneticPr fontId="2" type="noConversion"/>
  </si>
  <si>
    <t>UV Sensor</t>
    <phoneticPr fontId="2" type="noConversion"/>
  </si>
  <si>
    <t>surface mount</t>
    <phoneticPr fontId="2" type="noConversion"/>
  </si>
  <si>
    <t xml:space="preserve"> 2-Pin（0603） </t>
    <phoneticPr fontId="2" type="noConversion"/>
  </si>
  <si>
    <t>3-pin (0603)</t>
    <phoneticPr fontId="9" type="noConversion"/>
  </si>
  <si>
    <t>NXP</t>
    <phoneticPr fontId="2" type="noConversion"/>
  </si>
  <si>
    <t>TOSHIBA</t>
    <phoneticPr fontId="2" type="noConversion"/>
  </si>
  <si>
    <t>VISHAY</t>
    <phoneticPr fontId="2" type="noConversion"/>
  </si>
  <si>
    <t>R6，R13，R15，R20，R30，R35，R43，C44，C45</t>
    <phoneticPr fontId="2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</si>
</sst>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scheme val="minor"/>
    </font>
    <font>
      <b/>
      <sz val="12"/>
      <name val="新細明體"/>
      <family val="1"/>
      <charset val="136"/>
    </font>
    <font>
      <sz val="9"/>
      <name val="宋体"/>
      <family val="3"/>
      <charset val="134"/>
      <scheme val="minor"/>
    </font>
    <font>
      <sz val="9"/>
      <name val="新細明體"/>
      <family val="1"/>
      <charset val="136"/>
    </font>
    <font>
      <b/>
      <sz val="12"/>
      <name val="宋体"/>
      <family val="3"/>
      <charset val="134"/>
    </font>
    <font>
      <b/>
      <sz val="11"/>
      <color indexed="8"/>
      <name val="Arial"/>
      <family val="2"/>
    </font>
    <font>
      <sz val="12"/>
      <name val="新細明體"/>
      <family val="1"/>
      <charset val="136"/>
    </font>
    <font>
      <b/>
      <sz val="11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6"/>
      <scheme val="minor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>
      <alignment vertical="center"/>
    </xf>
    <xf numFmtId="0" fontId="6" fillId="0" borderId="0">
      <alignment vertical="center"/>
    </xf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8" fillId="0" borderId="7" xfId="0" applyFont="1" applyFill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6" fillId="0" borderId="0" xfId="2" applyFill="1">
      <alignment vertical="center"/>
    </xf>
    <xf numFmtId="0" fontId="8" fillId="0" borderId="1" xfId="0" applyFont="1" applyFill="1" applyBorder="1" applyAlignment="1">
      <alignment horizontal="left" vertical="center" wrapText="1"/>
    </xf>
    <xf numFmtId="49" fontId="0" fillId="0" borderId="9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常规" xfId="0" builtinId="0"/>
    <cellStyle name="常规 2" xfId="1"/>
    <cellStyle name="一般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40"/>
  <sheetViews>
    <sheetView tabSelected="1" workbookViewId="0">
      <selection activeCell="C11" sqref="C11"/>
    </sheetView>
  </sheetViews>
  <sheetFormatPr defaultRowHeight="13.5"/>
  <cols>
    <col min="1" max="1" width="1.75" customWidth="1"/>
    <col min="2" max="2" width="10.75" style="2" customWidth="1"/>
    <col min="3" max="3" width="12" style="3" customWidth="1"/>
    <col min="4" max="4" width="23.875" style="1" bestFit="1" customWidth="1"/>
    <col min="5" max="5" width="19.375" style="3" customWidth="1"/>
    <col min="6" max="6" width="17.25" style="3" customWidth="1"/>
    <col min="7" max="7" width="23" style="9" customWidth="1"/>
    <col min="8" max="8" width="16.625" customWidth="1"/>
    <col min="9" max="9" width="11.75" customWidth="1"/>
    <col min="10" max="10" width="10.5" customWidth="1"/>
    <col min="11" max="11" width="10.125" customWidth="1"/>
    <col min="12" max="12" width="19.75" customWidth="1"/>
    <col min="13" max="13" width="12" customWidth="1"/>
    <col min="14" max="14" width="40.75" customWidth="1"/>
  </cols>
  <sheetData>
    <row r="1" spans="2:14" ht="15" thickBot="1">
      <c r="B1" s="32" t="s">
        <v>82</v>
      </c>
    </row>
    <row r="2" spans="2:14" ht="16.5">
      <c r="B2" s="17" t="s">
        <v>0</v>
      </c>
      <c r="C2" s="18" t="s">
        <v>1</v>
      </c>
      <c r="D2" s="19" t="s">
        <v>2</v>
      </c>
      <c r="E2" s="18" t="s">
        <v>3</v>
      </c>
      <c r="F2" s="18" t="s">
        <v>4</v>
      </c>
      <c r="G2" s="20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8" t="s">
        <v>10</v>
      </c>
      <c r="M2" s="18" t="s">
        <v>11</v>
      </c>
      <c r="N2" s="21" t="s">
        <v>12</v>
      </c>
    </row>
    <row r="3" spans="2:14" ht="15">
      <c r="B3" s="22" t="s">
        <v>22</v>
      </c>
      <c r="C3" s="10" t="s">
        <v>13</v>
      </c>
      <c r="D3" s="11" t="s">
        <v>14</v>
      </c>
      <c r="E3" s="12" t="s">
        <v>15</v>
      </c>
      <c r="F3" s="10" t="s">
        <v>46</v>
      </c>
      <c r="G3" s="13" t="s">
        <v>34</v>
      </c>
      <c r="H3" s="10" t="s">
        <v>41</v>
      </c>
      <c r="I3" s="10" t="s">
        <v>16</v>
      </c>
      <c r="J3" s="10" t="s">
        <v>17</v>
      </c>
      <c r="K3" s="10" t="s">
        <v>18</v>
      </c>
      <c r="L3" s="12" t="s">
        <v>19</v>
      </c>
      <c r="M3" s="12" t="s">
        <v>20</v>
      </c>
      <c r="N3" s="23" t="s">
        <v>21</v>
      </c>
    </row>
    <row r="4" spans="2:14" ht="14.25">
      <c r="B4" s="24">
        <v>1</v>
      </c>
      <c r="C4" s="14">
        <v>2</v>
      </c>
      <c r="D4" s="15" t="s">
        <v>89</v>
      </c>
      <c r="E4" s="14" t="s">
        <v>90</v>
      </c>
      <c r="F4" s="14" t="s">
        <v>24</v>
      </c>
      <c r="G4" s="16" t="s">
        <v>35</v>
      </c>
      <c r="H4" s="8" t="s">
        <v>42</v>
      </c>
      <c r="I4" s="5" t="s">
        <v>43</v>
      </c>
      <c r="J4" s="5" t="s">
        <v>44</v>
      </c>
      <c r="K4" s="5" t="s">
        <v>37</v>
      </c>
      <c r="L4" s="5" t="s">
        <v>45</v>
      </c>
      <c r="M4" s="4" t="s">
        <v>31</v>
      </c>
      <c r="N4" s="6" t="s">
        <v>40</v>
      </c>
    </row>
    <row r="5" spans="2:14" ht="14.25">
      <c r="B5" s="24">
        <f>B4+1</f>
        <v>2</v>
      </c>
      <c r="C5" s="14">
        <v>4</v>
      </c>
      <c r="D5" s="15" t="s">
        <v>92</v>
      </c>
      <c r="E5" s="14" t="s">
        <v>91</v>
      </c>
      <c r="F5" s="14" t="s">
        <v>24</v>
      </c>
      <c r="G5" s="16" t="s">
        <v>35</v>
      </c>
      <c r="H5" s="8" t="s">
        <v>42</v>
      </c>
      <c r="I5" s="5" t="s">
        <v>43</v>
      </c>
      <c r="J5" s="5" t="s">
        <v>44</v>
      </c>
      <c r="K5" s="5" t="s">
        <v>37</v>
      </c>
      <c r="L5" s="5" t="s">
        <v>45</v>
      </c>
      <c r="M5" s="4" t="s">
        <v>39</v>
      </c>
      <c r="N5" s="6" t="s">
        <v>40</v>
      </c>
    </row>
    <row r="6" spans="2:14" ht="14.25">
      <c r="B6" s="24">
        <f t="shared" ref="B6:B40" si="0">B5+1</f>
        <v>3</v>
      </c>
      <c r="C6" s="14">
        <v>3</v>
      </c>
      <c r="D6" s="15" t="s">
        <v>83</v>
      </c>
      <c r="E6" s="14" t="s">
        <v>64</v>
      </c>
      <c r="F6" s="14" t="s">
        <v>24</v>
      </c>
      <c r="G6" s="16" t="s">
        <v>35</v>
      </c>
      <c r="H6" s="8" t="s">
        <v>42</v>
      </c>
      <c r="I6" s="5" t="s">
        <v>43</v>
      </c>
      <c r="J6" s="5" t="s">
        <v>44</v>
      </c>
      <c r="K6" s="5" t="s">
        <v>30</v>
      </c>
      <c r="L6" s="5" t="s">
        <v>45</v>
      </c>
      <c r="M6" s="4" t="s">
        <v>31</v>
      </c>
      <c r="N6" s="6" t="s">
        <v>32</v>
      </c>
    </row>
    <row r="7" spans="2:14" ht="27">
      <c r="B7" s="24">
        <f t="shared" si="0"/>
        <v>4</v>
      </c>
      <c r="C7" s="14">
        <v>9</v>
      </c>
      <c r="D7" s="15" t="s">
        <v>84</v>
      </c>
      <c r="E7" s="14" t="s">
        <v>23</v>
      </c>
      <c r="F7" s="14" t="s">
        <v>24</v>
      </c>
      <c r="G7" s="16" t="s">
        <v>35</v>
      </c>
      <c r="H7" s="8" t="s">
        <v>42</v>
      </c>
      <c r="I7" s="5" t="s">
        <v>43</v>
      </c>
      <c r="J7" s="5" t="s">
        <v>44</v>
      </c>
      <c r="K7" s="5" t="s">
        <v>37</v>
      </c>
      <c r="L7" s="5" t="s">
        <v>45</v>
      </c>
      <c r="M7" s="4" t="s">
        <v>39</v>
      </c>
      <c r="N7" s="6" t="s">
        <v>40</v>
      </c>
    </row>
    <row r="8" spans="2:14" ht="14.25">
      <c r="B8" s="24">
        <f t="shared" si="0"/>
        <v>5</v>
      </c>
      <c r="C8" s="14">
        <v>5</v>
      </c>
      <c r="D8" s="15" t="s">
        <v>86</v>
      </c>
      <c r="E8" s="14" t="s">
        <v>85</v>
      </c>
      <c r="F8" s="14" t="s">
        <v>24</v>
      </c>
      <c r="G8" s="16" t="s">
        <v>35</v>
      </c>
      <c r="H8" s="8" t="s">
        <v>42</v>
      </c>
      <c r="I8" s="5" t="s">
        <v>43</v>
      </c>
      <c r="J8" s="5" t="s">
        <v>44</v>
      </c>
      <c r="K8" s="5" t="s">
        <v>37</v>
      </c>
      <c r="L8" s="5" t="s">
        <v>45</v>
      </c>
      <c r="M8" s="4" t="s">
        <v>39</v>
      </c>
      <c r="N8" s="6" t="s">
        <v>40</v>
      </c>
    </row>
    <row r="9" spans="2:14" ht="14.25">
      <c r="B9" s="24">
        <f t="shared" si="0"/>
        <v>6</v>
      </c>
      <c r="C9" s="14">
        <v>2</v>
      </c>
      <c r="D9" s="15" t="s">
        <v>87</v>
      </c>
      <c r="E9" s="14" t="s">
        <v>65</v>
      </c>
      <c r="F9" s="14" t="s">
        <v>24</v>
      </c>
      <c r="G9" s="16" t="s">
        <v>35</v>
      </c>
      <c r="H9" s="8" t="s">
        <v>42</v>
      </c>
      <c r="I9" s="5" t="s">
        <v>43</v>
      </c>
      <c r="J9" s="5" t="s">
        <v>44</v>
      </c>
      <c r="K9" s="5" t="s">
        <v>30</v>
      </c>
      <c r="L9" s="5" t="s">
        <v>45</v>
      </c>
      <c r="M9" s="4" t="s">
        <v>31</v>
      </c>
      <c r="N9" s="6" t="s">
        <v>32</v>
      </c>
    </row>
    <row r="10" spans="2:14" ht="14.25">
      <c r="B10" s="24">
        <f t="shared" si="0"/>
        <v>7</v>
      </c>
      <c r="C10" s="14">
        <v>1</v>
      </c>
      <c r="D10" s="15" t="s">
        <v>88</v>
      </c>
      <c r="E10" s="14" t="s">
        <v>54</v>
      </c>
      <c r="F10" s="14" t="s">
        <v>24</v>
      </c>
      <c r="G10" s="16" t="s">
        <v>55</v>
      </c>
      <c r="H10" s="8" t="s">
        <v>42</v>
      </c>
      <c r="I10" s="5" t="s">
        <v>43</v>
      </c>
      <c r="J10" s="5" t="s">
        <v>44</v>
      </c>
      <c r="K10" s="5" t="s">
        <v>37</v>
      </c>
      <c r="L10" s="5" t="s">
        <v>45</v>
      </c>
      <c r="M10" s="4" t="s">
        <v>39</v>
      </c>
      <c r="N10" s="6" t="s">
        <v>40</v>
      </c>
    </row>
    <row r="11" spans="2:14" ht="27">
      <c r="B11" s="24">
        <f>B10+1</f>
        <v>8</v>
      </c>
      <c r="C11" s="14">
        <v>9</v>
      </c>
      <c r="D11" s="15" t="s">
        <v>168</v>
      </c>
      <c r="E11" s="14" t="s">
        <v>59</v>
      </c>
      <c r="F11" s="4" t="s">
        <v>33</v>
      </c>
      <c r="G11" s="16" t="s">
        <v>60</v>
      </c>
      <c r="H11" s="7" t="s">
        <v>61</v>
      </c>
      <c r="I11" s="5" t="s">
        <v>62</v>
      </c>
      <c r="J11" s="5" t="s">
        <v>37</v>
      </c>
      <c r="K11" s="5" t="s">
        <v>37</v>
      </c>
      <c r="L11" s="5" t="s">
        <v>38</v>
      </c>
      <c r="M11" s="4" t="s">
        <v>39</v>
      </c>
      <c r="N11" s="6" t="s">
        <v>40</v>
      </c>
    </row>
    <row r="12" spans="2:14" ht="14.25">
      <c r="B12" s="24">
        <f t="shared" si="0"/>
        <v>9</v>
      </c>
      <c r="C12" s="14">
        <v>5</v>
      </c>
      <c r="D12" s="15" t="s">
        <v>122</v>
      </c>
      <c r="E12" s="14" t="s">
        <v>121</v>
      </c>
      <c r="F12" s="4" t="s">
        <v>33</v>
      </c>
      <c r="G12" s="16" t="s">
        <v>35</v>
      </c>
      <c r="H12" s="7" t="s">
        <v>36</v>
      </c>
      <c r="I12" s="5" t="s">
        <v>62</v>
      </c>
      <c r="J12" s="5" t="s">
        <v>30</v>
      </c>
      <c r="K12" s="5" t="s">
        <v>30</v>
      </c>
      <c r="L12" s="5" t="s">
        <v>38</v>
      </c>
      <c r="M12" s="4" t="s">
        <v>31</v>
      </c>
      <c r="N12" s="6" t="s">
        <v>32</v>
      </c>
    </row>
    <row r="13" spans="2:14" ht="14.25">
      <c r="B13" s="24">
        <f t="shared" si="0"/>
        <v>10</v>
      </c>
      <c r="C13" s="14">
        <v>2</v>
      </c>
      <c r="D13" s="15" t="s">
        <v>124</v>
      </c>
      <c r="E13" s="14" t="s">
        <v>123</v>
      </c>
      <c r="F13" s="4" t="s">
        <v>33</v>
      </c>
      <c r="G13" s="16" t="s">
        <v>35</v>
      </c>
      <c r="H13" s="7" t="s">
        <v>36</v>
      </c>
      <c r="I13" s="5" t="s">
        <v>62</v>
      </c>
      <c r="J13" s="5" t="s">
        <v>30</v>
      </c>
      <c r="K13" s="5" t="s">
        <v>30</v>
      </c>
      <c r="L13" s="5" t="s">
        <v>38</v>
      </c>
      <c r="M13" s="4" t="s">
        <v>31</v>
      </c>
      <c r="N13" s="6" t="s">
        <v>32</v>
      </c>
    </row>
    <row r="14" spans="2:14" ht="14.25">
      <c r="B14" s="24">
        <f t="shared" si="0"/>
        <v>11</v>
      </c>
      <c r="C14" s="14">
        <v>2</v>
      </c>
      <c r="D14" s="15" t="s">
        <v>120</v>
      </c>
      <c r="E14" s="14" t="s">
        <v>119</v>
      </c>
      <c r="F14" s="4" t="s">
        <v>33</v>
      </c>
      <c r="G14" s="16" t="s">
        <v>35</v>
      </c>
      <c r="H14" s="7" t="s">
        <v>36</v>
      </c>
      <c r="I14" s="5" t="s">
        <v>62</v>
      </c>
      <c r="J14" s="5" t="s">
        <v>30</v>
      </c>
      <c r="K14" s="5" t="s">
        <v>30</v>
      </c>
      <c r="L14" s="5" t="s">
        <v>38</v>
      </c>
      <c r="M14" s="4" t="s">
        <v>31</v>
      </c>
      <c r="N14" s="6" t="s">
        <v>32</v>
      </c>
    </row>
    <row r="15" spans="2:14" ht="27">
      <c r="B15" s="24">
        <f t="shared" si="0"/>
        <v>12</v>
      </c>
      <c r="C15" s="14">
        <v>9</v>
      </c>
      <c r="D15" s="15" t="s">
        <v>127</v>
      </c>
      <c r="E15" s="14" t="s">
        <v>125</v>
      </c>
      <c r="F15" s="4" t="s">
        <v>33</v>
      </c>
      <c r="G15" s="16" t="s">
        <v>35</v>
      </c>
      <c r="H15" s="7" t="s">
        <v>36</v>
      </c>
      <c r="I15" s="5" t="s">
        <v>62</v>
      </c>
      <c r="J15" s="5" t="s">
        <v>30</v>
      </c>
      <c r="K15" s="5" t="s">
        <v>30</v>
      </c>
      <c r="L15" s="5" t="s">
        <v>38</v>
      </c>
      <c r="M15" s="4" t="s">
        <v>31</v>
      </c>
      <c r="N15" s="6" t="s">
        <v>32</v>
      </c>
    </row>
    <row r="16" spans="2:14" ht="14.25">
      <c r="B16" s="24">
        <f t="shared" si="0"/>
        <v>13</v>
      </c>
      <c r="C16" s="14">
        <v>1</v>
      </c>
      <c r="D16" s="15" t="s">
        <v>129</v>
      </c>
      <c r="E16" s="14" t="s">
        <v>76</v>
      </c>
      <c r="F16" s="4" t="s">
        <v>33</v>
      </c>
      <c r="G16" s="16" t="s">
        <v>35</v>
      </c>
      <c r="H16" s="7" t="s">
        <v>36</v>
      </c>
      <c r="I16" s="5" t="s">
        <v>62</v>
      </c>
      <c r="J16" s="5" t="s">
        <v>30</v>
      </c>
      <c r="K16" s="5" t="s">
        <v>30</v>
      </c>
      <c r="L16" s="5" t="s">
        <v>38</v>
      </c>
      <c r="M16" s="4" t="s">
        <v>31</v>
      </c>
      <c r="N16" s="6" t="s">
        <v>32</v>
      </c>
    </row>
    <row r="17" spans="2:14" ht="14.25">
      <c r="B17" s="24">
        <f t="shared" si="0"/>
        <v>14</v>
      </c>
      <c r="C17" s="14">
        <v>1</v>
      </c>
      <c r="D17" s="15" t="s">
        <v>130</v>
      </c>
      <c r="E17" s="14" t="s">
        <v>126</v>
      </c>
      <c r="F17" s="4" t="s">
        <v>33</v>
      </c>
      <c r="G17" s="16" t="s">
        <v>60</v>
      </c>
      <c r="H17" s="7" t="s">
        <v>36</v>
      </c>
      <c r="I17" s="5" t="s">
        <v>62</v>
      </c>
      <c r="J17" s="5" t="s">
        <v>37</v>
      </c>
      <c r="K17" s="5" t="s">
        <v>37</v>
      </c>
      <c r="L17" s="5" t="s">
        <v>38</v>
      </c>
      <c r="M17" s="4" t="s">
        <v>31</v>
      </c>
      <c r="N17" s="6" t="s">
        <v>40</v>
      </c>
    </row>
    <row r="18" spans="2:14" ht="27">
      <c r="B18" s="24">
        <f t="shared" si="0"/>
        <v>15</v>
      </c>
      <c r="C18" s="14">
        <v>6</v>
      </c>
      <c r="D18" s="15" t="s">
        <v>116</v>
      </c>
      <c r="E18" s="14" t="s">
        <v>75</v>
      </c>
      <c r="F18" s="4" t="s">
        <v>33</v>
      </c>
      <c r="G18" s="16" t="s">
        <v>63</v>
      </c>
      <c r="H18" s="7" t="s">
        <v>36</v>
      </c>
      <c r="I18" s="5" t="s">
        <v>62</v>
      </c>
      <c r="J18" s="5" t="s">
        <v>37</v>
      </c>
      <c r="K18" s="5" t="s">
        <v>37</v>
      </c>
      <c r="L18" s="5" t="s">
        <v>38</v>
      </c>
      <c r="M18" s="4" t="s">
        <v>39</v>
      </c>
      <c r="N18" s="6" t="s">
        <v>40</v>
      </c>
    </row>
    <row r="19" spans="2:14" ht="14.25">
      <c r="B19" s="24">
        <f t="shared" si="0"/>
        <v>16</v>
      </c>
      <c r="C19" s="14">
        <v>2</v>
      </c>
      <c r="D19" s="15" t="s">
        <v>118</v>
      </c>
      <c r="E19" s="14" t="s">
        <v>117</v>
      </c>
      <c r="F19" s="4" t="s">
        <v>33</v>
      </c>
      <c r="G19" s="16" t="s">
        <v>35</v>
      </c>
      <c r="H19" s="7" t="s">
        <v>36</v>
      </c>
      <c r="I19" s="5" t="s">
        <v>62</v>
      </c>
      <c r="J19" s="5" t="s">
        <v>30</v>
      </c>
      <c r="K19" s="5" t="s">
        <v>30</v>
      </c>
      <c r="L19" s="5" t="s">
        <v>38</v>
      </c>
      <c r="M19" s="4" t="s">
        <v>31</v>
      </c>
      <c r="N19" s="6" t="s">
        <v>32</v>
      </c>
    </row>
    <row r="20" spans="2:14" ht="14.25">
      <c r="B20" s="24">
        <f t="shared" si="0"/>
        <v>17</v>
      </c>
      <c r="C20" s="14">
        <v>2</v>
      </c>
      <c r="D20" s="15" t="s">
        <v>131</v>
      </c>
      <c r="E20" s="14" t="s">
        <v>128</v>
      </c>
      <c r="F20" s="4" t="s">
        <v>33</v>
      </c>
      <c r="G20" s="16" t="s">
        <v>60</v>
      </c>
      <c r="H20" s="7" t="s">
        <v>36</v>
      </c>
      <c r="I20" s="5" t="s">
        <v>62</v>
      </c>
      <c r="J20" s="5" t="s">
        <v>37</v>
      </c>
      <c r="K20" s="5" t="s">
        <v>37</v>
      </c>
      <c r="L20" s="5" t="s">
        <v>38</v>
      </c>
      <c r="M20" s="4" t="s">
        <v>39</v>
      </c>
      <c r="N20" s="6" t="s">
        <v>40</v>
      </c>
    </row>
    <row r="21" spans="2:14" ht="14.25">
      <c r="B21" s="24">
        <f t="shared" si="0"/>
        <v>18</v>
      </c>
      <c r="C21" s="14">
        <v>2</v>
      </c>
      <c r="D21" s="15" t="s">
        <v>115</v>
      </c>
      <c r="E21" s="14" t="s">
        <v>74</v>
      </c>
      <c r="F21" s="4" t="s">
        <v>33</v>
      </c>
      <c r="G21" s="16" t="s">
        <v>60</v>
      </c>
      <c r="H21" s="7" t="s">
        <v>36</v>
      </c>
      <c r="I21" s="5" t="s">
        <v>62</v>
      </c>
      <c r="J21" s="5" t="s">
        <v>37</v>
      </c>
      <c r="K21" s="5" t="s">
        <v>37</v>
      </c>
      <c r="L21" s="5" t="s">
        <v>38</v>
      </c>
      <c r="M21" s="4" t="s">
        <v>39</v>
      </c>
      <c r="N21" s="6" t="s">
        <v>40</v>
      </c>
    </row>
    <row r="22" spans="2:14" ht="14.25">
      <c r="B22" s="24">
        <f t="shared" si="0"/>
        <v>19</v>
      </c>
      <c r="C22" s="14">
        <v>3</v>
      </c>
      <c r="D22" s="15" t="s">
        <v>114</v>
      </c>
      <c r="E22" s="14" t="s">
        <v>73</v>
      </c>
      <c r="F22" s="4" t="s">
        <v>33</v>
      </c>
      <c r="G22" s="16" t="s">
        <v>60</v>
      </c>
      <c r="H22" s="7" t="s">
        <v>36</v>
      </c>
      <c r="I22" s="5" t="s">
        <v>62</v>
      </c>
      <c r="J22" s="5" t="s">
        <v>37</v>
      </c>
      <c r="K22" s="5" t="s">
        <v>37</v>
      </c>
      <c r="L22" s="5" t="s">
        <v>38</v>
      </c>
      <c r="M22" s="4" t="s">
        <v>39</v>
      </c>
      <c r="N22" s="6" t="s">
        <v>40</v>
      </c>
    </row>
    <row r="23" spans="2:14" ht="15.75" customHeight="1">
      <c r="B23" s="24">
        <f t="shared" si="0"/>
        <v>20</v>
      </c>
      <c r="C23" s="14">
        <v>1</v>
      </c>
      <c r="D23" s="15" t="s">
        <v>142</v>
      </c>
      <c r="E23" s="14" t="s">
        <v>143</v>
      </c>
      <c r="F23" s="14" t="s">
        <v>25</v>
      </c>
      <c r="G23" s="36" t="s">
        <v>151</v>
      </c>
      <c r="H23" s="7" t="s">
        <v>145</v>
      </c>
      <c r="I23" s="5" t="s">
        <v>28</v>
      </c>
      <c r="J23" s="5" t="s">
        <v>30</v>
      </c>
      <c r="K23" s="5" t="s">
        <v>30</v>
      </c>
      <c r="L23" s="4" t="s">
        <v>165</v>
      </c>
      <c r="M23" s="4" t="s">
        <v>31</v>
      </c>
      <c r="N23" s="25" t="s">
        <v>149</v>
      </c>
    </row>
    <row r="24" spans="2:14" ht="18" customHeight="1">
      <c r="B24" s="24">
        <f t="shared" si="0"/>
        <v>21</v>
      </c>
      <c r="C24" s="14">
        <v>1</v>
      </c>
      <c r="D24" s="15" t="s">
        <v>71</v>
      </c>
      <c r="E24" s="14" t="s">
        <v>147</v>
      </c>
      <c r="F24" s="14" t="s">
        <v>157</v>
      </c>
      <c r="G24" s="16" t="s">
        <v>158</v>
      </c>
      <c r="H24" s="7" t="s">
        <v>155</v>
      </c>
      <c r="I24" s="5" t="s">
        <v>28</v>
      </c>
      <c r="J24" s="5" t="s">
        <v>30</v>
      </c>
      <c r="K24" s="5" t="s">
        <v>30</v>
      </c>
      <c r="L24" s="4" t="s">
        <v>165</v>
      </c>
      <c r="M24" s="4" t="s">
        <v>31</v>
      </c>
      <c r="N24" s="25" t="s">
        <v>154</v>
      </c>
    </row>
    <row r="25" spans="2:14">
      <c r="B25" s="24">
        <f t="shared" si="0"/>
        <v>22</v>
      </c>
      <c r="C25" s="14">
        <v>1</v>
      </c>
      <c r="D25" s="15" t="s">
        <v>139</v>
      </c>
      <c r="E25" s="14" t="s">
        <v>140</v>
      </c>
      <c r="F25" s="14" t="s">
        <v>80</v>
      </c>
      <c r="G25" s="16" t="s">
        <v>141</v>
      </c>
      <c r="H25" s="7" t="s">
        <v>81</v>
      </c>
      <c r="I25" s="5" t="s">
        <v>28</v>
      </c>
      <c r="J25" s="5" t="s">
        <v>30</v>
      </c>
      <c r="K25" s="5" t="s">
        <v>30</v>
      </c>
      <c r="L25" s="4" t="s">
        <v>166</v>
      </c>
      <c r="M25" s="4" t="s">
        <v>31</v>
      </c>
      <c r="N25" s="25" t="s">
        <v>153</v>
      </c>
    </row>
    <row r="26" spans="2:14">
      <c r="B26" s="24">
        <f t="shared" si="0"/>
        <v>23</v>
      </c>
      <c r="C26" s="14">
        <v>1</v>
      </c>
      <c r="D26" s="15" t="s">
        <v>67</v>
      </c>
      <c r="E26" s="14" t="s">
        <v>144</v>
      </c>
      <c r="F26" s="14" t="s">
        <v>156</v>
      </c>
      <c r="G26" s="35" t="s">
        <v>152</v>
      </c>
      <c r="H26" s="7" t="s">
        <v>145</v>
      </c>
      <c r="I26" s="5" t="s">
        <v>28</v>
      </c>
      <c r="J26" s="5" t="s">
        <v>30</v>
      </c>
      <c r="K26" s="5" t="s">
        <v>30</v>
      </c>
      <c r="L26" s="4" t="s">
        <v>165</v>
      </c>
      <c r="M26" s="4" t="s">
        <v>31</v>
      </c>
      <c r="N26" s="25" t="s">
        <v>150</v>
      </c>
    </row>
    <row r="27" spans="2:14" ht="18" customHeight="1">
      <c r="B27" s="24">
        <f t="shared" si="0"/>
        <v>24</v>
      </c>
      <c r="C27" s="14">
        <v>1</v>
      </c>
      <c r="D27" s="15" t="s">
        <v>138</v>
      </c>
      <c r="E27" s="14" t="s">
        <v>146</v>
      </c>
      <c r="F27" s="14" t="s">
        <v>161</v>
      </c>
      <c r="G27" s="16" t="s">
        <v>162</v>
      </c>
      <c r="H27" s="7" t="s">
        <v>160</v>
      </c>
      <c r="I27" s="5" t="s">
        <v>28</v>
      </c>
      <c r="J27" s="5" t="s">
        <v>30</v>
      </c>
      <c r="K27" s="5" t="s">
        <v>30</v>
      </c>
      <c r="L27" s="4" t="s">
        <v>167</v>
      </c>
      <c r="M27" s="4" t="s">
        <v>31</v>
      </c>
      <c r="N27" s="25" t="s">
        <v>159</v>
      </c>
    </row>
    <row r="28" spans="2:14" ht="14.25">
      <c r="B28" s="24">
        <f t="shared" si="0"/>
        <v>25</v>
      </c>
      <c r="C28" s="14">
        <v>1</v>
      </c>
      <c r="D28" s="15" t="s">
        <v>102</v>
      </c>
      <c r="E28" s="14" t="s">
        <v>100</v>
      </c>
      <c r="F28" s="14" t="s">
        <v>48</v>
      </c>
      <c r="G28" s="16" t="s">
        <v>50</v>
      </c>
      <c r="H28" s="5" t="s">
        <v>51</v>
      </c>
      <c r="I28" s="5" t="s">
        <v>52</v>
      </c>
      <c r="J28" s="5" t="s">
        <v>37</v>
      </c>
      <c r="K28" s="5" t="s">
        <v>37</v>
      </c>
      <c r="L28" s="4" t="s">
        <v>51</v>
      </c>
      <c r="M28" s="4" t="s">
        <v>39</v>
      </c>
      <c r="N28" s="6" t="s">
        <v>40</v>
      </c>
    </row>
    <row r="29" spans="2:14" ht="14.25">
      <c r="B29" s="24">
        <f t="shared" si="0"/>
        <v>26</v>
      </c>
      <c r="C29" s="14">
        <v>2</v>
      </c>
      <c r="D29" s="15" t="s">
        <v>99</v>
      </c>
      <c r="E29" s="14" t="s">
        <v>105</v>
      </c>
      <c r="F29" s="14" t="s">
        <v>56</v>
      </c>
      <c r="G29" s="16" t="s">
        <v>94</v>
      </c>
      <c r="H29" s="5" t="s">
        <v>51</v>
      </c>
      <c r="I29" s="5" t="s">
        <v>52</v>
      </c>
      <c r="J29" s="5" t="s">
        <v>37</v>
      </c>
      <c r="K29" s="5" t="s">
        <v>37</v>
      </c>
      <c r="L29" s="4" t="s">
        <v>51</v>
      </c>
      <c r="M29" s="4" t="s">
        <v>39</v>
      </c>
      <c r="N29" s="6" t="s">
        <v>40</v>
      </c>
    </row>
    <row r="30" spans="2:14" ht="14.25">
      <c r="B30" s="24">
        <f t="shared" si="0"/>
        <v>27</v>
      </c>
      <c r="C30" s="14">
        <v>2</v>
      </c>
      <c r="D30" s="15" t="s">
        <v>96</v>
      </c>
      <c r="E30" s="14" t="s">
        <v>47</v>
      </c>
      <c r="F30" s="14" t="s">
        <v>49</v>
      </c>
      <c r="G30" s="16" t="s">
        <v>66</v>
      </c>
      <c r="H30" s="5" t="s">
        <v>51</v>
      </c>
      <c r="I30" s="5" t="s">
        <v>52</v>
      </c>
      <c r="J30" s="5" t="s">
        <v>37</v>
      </c>
      <c r="K30" s="5" t="s">
        <v>37</v>
      </c>
      <c r="L30" s="4" t="s">
        <v>51</v>
      </c>
      <c r="M30" s="4" t="s">
        <v>31</v>
      </c>
      <c r="N30" s="6" t="s">
        <v>40</v>
      </c>
    </row>
    <row r="31" spans="2:14" ht="14.25">
      <c r="B31" s="24">
        <f t="shared" si="0"/>
        <v>28</v>
      </c>
      <c r="C31" s="14">
        <v>1</v>
      </c>
      <c r="D31" s="15" t="s">
        <v>97</v>
      </c>
      <c r="E31" s="14" t="s">
        <v>47</v>
      </c>
      <c r="F31" s="14" t="s">
        <v>49</v>
      </c>
      <c r="G31" s="16" t="s">
        <v>98</v>
      </c>
      <c r="H31" s="5" t="s">
        <v>51</v>
      </c>
      <c r="I31" s="5" t="s">
        <v>52</v>
      </c>
      <c r="J31" s="5" t="s">
        <v>37</v>
      </c>
      <c r="K31" s="5" t="s">
        <v>37</v>
      </c>
      <c r="L31" s="4" t="s">
        <v>51</v>
      </c>
      <c r="M31" s="4" t="s">
        <v>39</v>
      </c>
      <c r="N31" s="6" t="s">
        <v>40</v>
      </c>
    </row>
    <row r="32" spans="2:14" ht="14.25">
      <c r="B32" s="24">
        <f t="shared" si="0"/>
        <v>29</v>
      </c>
      <c r="C32" s="14">
        <v>1</v>
      </c>
      <c r="D32" s="15" t="s">
        <v>93</v>
      </c>
      <c r="E32" s="14" t="s">
        <v>47</v>
      </c>
      <c r="F32" s="14" t="s">
        <v>49</v>
      </c>
      <c r="G32" s="16" t="s">
        <v>95</v>
      </c>
      <c r="H32" s="5" t="s">
        <v>29</v>
      </c>
      <c r="I32" s="5" t="s">
        <v>28</v>
      </c>
      <c r="J32" s="5" t="s">
        <v>30</v>
      </c>
      <c r="K32" s="5" t="s">
        <v>30</v>
      </c>
      <c r="L32" s="4" t="s">
        <v>29</v>
      </c>
      <c r="M32" s="4" t="s">
        <v>31</v>
      </c>
      <c r="N32" s="6" t="s">
        <v>32</v>
      </c>
    </row>
    <row r="33" spans="2:14" ht="14.25">
      <c r="B33" s="24">
        <f t="shared" si="0"/>
        <v>30</v>
      </c>
      <c r="C33" s="14">
        <v>1</v>
      </c>
      <c r="D33" s="15" t="s">
        <v>70</v>
      </c>
      <c r="E33" s="14" t="s">
        <v>101</v>
      </c>
      <c r="F33" s="14" t="s">
        <v>56</v>
      </c>
      <c r="G33" s="16" t="s">
        <v>68</v>
      </c>
      <c r="H33" s="5" t="s">
        <v>29</v>
      </c>
      <c r="I33" s="5" t="s">
        <v>28</v>
      </c>
      <c r="J33" s="5" t="s">
        <v>30</v>
      </c>
      <c r="K33" s="5" t="s">
        <v>30</v>
      </c>
      <c r="L33" s="4" t="s">
        <v>29</v>
      </c>
      <c r="M33" s="4" t="s">
        <v>31</v>
      </c>
      <c r="N33" s="6" t="s">
        <v>32</v>
      </c>
    </row>
    <row r="34" spans="2:14" ht="14.25">
      <c r="B34" s="24">
        <f t="shared" si="0"/>
        <v>31</v>
      </c>
      <c r="C34" s="14">
        <v>3</v>
      </c>
      <c r="D34" s="15" t="s">
        <v>103</v>
      </c>
      <c r="E34" s="14" t="s">
        <v>106</v>
      </c>
      <c r="F34" s="14" t="s">
        <v>57</v>
      </c>
      <c r="G34" s="16" t="s">
        <v>163</v>
      </c>
      <c r="H34" s="5" t="s">
        <v>51</v>
      </c>
      <c r="I34" s="5" t="s">
        <v>52</v>
      </c>
      <c r="J34" s="5" t="s">
        <v>37</v>
      </c>
      <c r="K34" s="5" t="s">
        <v>37</v>
      </c>
      <c r="L34" s="4" t="s">
        <v>51</v>
      </c>
      <c r="M34" s="4" t="s">
        <v>39</v>
      </c>
      <c r="N34" s="6" t="s">
        <v>40</v>
      </c>
    </row>
    <row r="35" spans="2:14" s="33" customFormat="1" ht="16.5">
      <c r="B35" s="24">
        <f t="shared" si="0"/>
        <v>32</v>
      </c>
      <c r="C35" s="4">
        <v>3</v>
      </c>
      <c r="D35" s="34" t="s">
        <v>104</v>
      </c>
      <c r="E35" s="4" t="s">
        <v>107</v>
      </c>
      <c r="F35" s="4" t="s">
        <v>53</v>
      </c>
      <c r="G35" s="5" t="s">
        <v>164</v>
      </c>
      <c r="H35" s="5" t="s">
        <v>29</v>
      </c>
      <c r="I35" s="5" t="s">
        <v>28</v>
      </c>
      <c r="J35" s="5" t="s">
        <v>30</v>
      </c>
      <c r="K35" s="5" t="s">
        <v>30</v>
      </c>
      <c r="L35" s="4" t="s">
        <v>29</v>
      </c>
      <c r="M35" s="4" t="s">
        <v>31</v>
      </c>
      <c r="N35" s="6" t="s">
        <v>32</v>
      </c>
    </row>
    <row r="36" spans="2:14" s="33" customFormat="1" ht="16.5">
      <c r="B36" s="24">
        <f t="shared" si="0"/>
        <v>33</v>
      </c>
      <c r="C36" s="4">
        <v>1</v>
      </c>
      <c r="D36" s="34" t="s">
        <v>109</v>
      </c>
      <c r="E36" s="4" t="s">
        <v>110</v>
      </c>
      <c r="F36" s="4" t="s">
        <v>111</v>
      </c>
      <c r="G36" s="5" t="s">
        <v>113</v>
      </c>
      <c r="H36" s="5" t="s">
        <v>29</v>
      </c>
      <c r="I36" s="5" t="s">
        <v>28</v>
      </c>
      <c r="J36" s="5" t="s">
        <v>37</v>
      </c>
      <c r="K36" s="5" t="s">
        <v>37</v>
      </c>
      <c r="L36" s="4" t="s">
        <v>29</v>
      </c>
      <c r="M36" s="4" t="s">
        <v>31</v>
      </c>
      <c r="N36" s="6" t="s">
        <v>32</v>
      </c>
    </row>
    <row r="37" spans="2:14" s="33" customFormat="1" ht="30" customHeight="1">
      <c r="B37" s="24">
        <f t="shared" si="0"/>
        <v>34</v>
      </c>
      <c r="C37" s="4">
        <v>7</v>
      </c>
      <c r="D37" s="34" t="s">
        <v>108</v>
      </c>
      <c r="E37" s="4" t="s">
        <v>58</v>
      </c>
      <c r="F37" s="4" t="s">
        <v>112</v>
      </c>
      <c r="G37" s="5" t="s">
        <v>69</v>
      </c>
      <c r="H37" s="5" t="s">
        <v>29</v>
      </c>
      <c r="I37" s="5" t="s">
        <v>28</v>
      </c>
      <c r="J37" s="5" t="s">
        <v>37</v>
      </c>
      <c r="K37" s="5" t="s">
        <v>37</v>
      </c>
      <c r="L37" s="4" t="s">
        <v>29</v>
      </c>
      <c r="M37" s="4" t="s">
        <v>31</v>
      </c>
      <c r="N37" s="6" t="s">
        <v>32</v>
      </c>
    </row>
    <row r="38" spans="2:14" ht="14.25">
      <c r="B38" s="24">
        <f t="shared" si="0"/>
        <v>35</v>
      </c>
      <c r="C38" s="14">
        <v>2</v>
      </c>
      <c r="D38" s="15" t="s">
        <v>134</v>
      </c>
      <c r="E38" s="14" t="s">
        <v>137</v>
      </c>
      <c r="F38" s="4" t="s">
        <v>136</v>
      </c>
      <c r="G38" s="16" t="s">
        <v>135</v>
      </c>
      <c r="H38" s="5" t="s">
        <v>29</v>
      </c>
      <c r="I38" s="5" t="s">
        <v>28</v>
      </c>
      <c r="J38" s="5" t="s">
        <v>30</v>
      </c>
      <c r="K38" s="5" t="s">
        <v>30</v>
      </c>
      <c r="L38" s="4" t="s">
        <v>29</v>
      </c>
      <c r="M38" s="4" t="s">
        <v>31</v>
      </c>
      <c r="N38" s="6" t="s">
        <v>32</v>
      </c>
    </row>
    <row r="39" spans="2:14">
      <c r="B39" s="24">
        <f t="shared" si="0"/>
        <v>36</v>
      </c>
      <c r="C39" s="14">
        <v>1</v>
      </c>
      <c r="D39" s="15" t="s">
        <v>72</v>
      </c>
      <c r="E39" s="14" t="s">
        <v>132</v>
      </c>
      <c r="F39" s="14" t="s">
        <v>78</v>
      </c>
      <c r="G39" s="16" t="s">
        <v>77</v>
      </c>
      <c r="H39" s="7" t="s">
        <v>79</v>
      </c>
      <c r="I39" s="5" t="s">
        <v>28</v>
      </c>
      <c r="J39" s="5" t="s">
        <v>30</v>
      </c>
      <c r="K39" s="5" t="s">
        <v>30</v>
      </c>
      <c r="L39" s="4" t="s">
        <v>148</v>
      </c>
      <c r="M39" s="4" t="s">
        <v>31</v>
      </c>
      <c r="N39" s="25" t="s">
        <v>148</v>
      </c>
    </row>
    <row r="40" spans="2:14" ht="15" thickBot="1">
      <c r="B40" s="24">
        <f t="shared" si="0"/>
        <v>37</v>
      </c>
      <c r="C40" s="26">
        <v>3</v>
      </c>
      <c r="D40" s="27" t="s">
        <v>133</v>
      </c>
      <c r="E40" s="28" t="s">
        <v>26</v>
      </c>
      <c r="F40" s="28" t="s">
        <v>27</v>
      </c>
      <c r="G40" s="29" t="s">
        <v>28</v>
      </c>
      <c r="H40" s="30" t="s">
        <v>29</v>
      </c>
      <c r="I40" s="30" t="s">
        <v>28</v>
      </c>
      <c r="J40" s="30" t="s">
        <v>30</v>
      </c>
      <c r="K40" s="30" t="s">
        <v>30</v>
      </c>
      <c r="L40" s="28" t="s">
        <v>29</v>
      </c>
      <c r="M40" s="28" t="s">
        <v>31</v>
      </c>
      <c r="N40" s="31" t="s">
        <v>32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2015-12-21T03:37:57Z</dcterms:modified>
</cp:coreProperties>
</file>